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hop phi" sheetId="1" state="visible" r:id="rId3"/>
    <sheet name="Bang tra cuu" sheetId="2" state="visible" r:id="rId4"/>
    <sheet name="Doi soat" sheetId="3" state="visible" r:id="rId5"/>
  </sheets>
  <definedNames>
    <definedName function="false" hidden="true" localSheetId="2" name="_xlnm._FilterDatabase" vbProcedure="false">'Doi soat'!$A$1:$I$31</definedName>
    <definedName function="false" hidden="true" localSheetId="0" name="_xlnm._FilterDatabase" vbProcedure="false">'Tong hop phi'!$A$3:$I$13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<sst xmlns="http://schemas.openxmlformats.org/spreadsheetml/2006/main" count="203" uniqueCount="159">
  <si>
    <t xml:space="preserve">BẢNG TỔNG HỢP PHÍ TỪ ĐỐI TÁC NGÂN HÀNG</t>
  </si>
  <si>
    <t xml:space="preserve">Tháng 05/2024 - Ví điện tử PayKX</t>
  </si>
  <si>
    <t xml:space="preserve">STT</t>
  </si>
  <si>
    <t xml:space="preserve">Ngân hàng đối tác</t>
  </si>
  <si>
    <t xml:space="preserve">Mã đối tác</t>
  </si>
  <si>
    <t xml:space="preserve">Số giao dịch (thành công)</t>
  </si>
  <si>
    <t xml:space="preserve">Doanh số (VND)</t>
  </si>
  <si>
    <t xml:space="preserve">Phí cố định (VND)</t>
  </si>
  <si>
    <t xml:space="preserve">Tỷ lệ phí (%)</t>
  </si>
  <si>
    <t xml:space="preserve">Phí biến đổi (VND)</t>
  </si>
  <si>
    <t xml:space="preserve">Tổng phí (VND)</t>
  </si>
  <si>
    <t xml:space="preserve">TỔNG HỢP</t>
  </si>
  <si>
    <t xml:space="preserve">Vietcombank</t>
  </si>
  <si>
    <t xml:space="preserve">VCB</t>
  </si>
  <si>
    <t xml:space="preserve">Tổng doanh số (VND)</t>
  </si>
  <si>
    <t xml:space="preserve">BIDV</t>
  </si>
  <si>
    <t xml:space="preserve">Tổng số giao dịch</t>
  </si>
  <si>
    <t xml:space="preserve">VietinBank</t>
  </si>
  <si>
    <t xml:space="preserve">CTG</t>
  </si>
  <si>
    <t xml:space="preserve">Techcombank</t>
  </si>
  <si>
    <t xml:space="preserve">TCB</t>
  </si>
  <si>
    <t xml:space="preserve">Tỷ lệ phí bình quân</t>
  </si>
  <si>
    <t xml:space="preserve">MB Bank</t>
  </si>
  <si>
    <t xml:space="preserve">MBB</t>
  </si>
  <si>
    <t xml:space="preserve">Ghi chú:</t>
  </si>
  <si>
    <t xml:space="preserve">ACB</t>
  </si>
  <si>
    <t xml:space="preserve">Phí = Phí cố định + (Doanh số x Tỷ lệ phí)</t>
  </si>
  <si>
    <t xml:space="preserve">VPBank</t>
  </si>
  <si>
    <t xml:space="preserve">VPB</t>
  </si>
  <si>
    <t xml:space="preserve">Chữ xanh = số liệu nhập, chữ đen = công thức</t>
  </si>
  <si>
    <t xml:space="preserve">TPBank</t>
  </si>
  <si>
    <t xml:space="preserve">TPB</t>
  </si>
  <si>
    <t xml:space="preserve">OCB</t>
  </si>
  <si>
    <t xml:space="preserve">SHB</t>
  </si>
  <si>
    <t xml:space="preserve">TỔNG CỘNG</t>
  </si>
  <si>
    <t xml:space="preserve">Mã giao dịch</t>
  </si>
  <si>
    <t xml:space="preserve">Tên người dùng</t>
  </si>
  <si>
    <t xml:space="preserve">Mã sinh viên</t>
  </si>
  <si>
    <t xml:space="preserve">GD0001</t>
  </si>
  <si>
    <t xml:space="preserve">Nguyễn Minh Anh</t>
  </si>
  <si>
    <t xml:space="preserve">SV241000</t>
  </si>
  <si>
    <t xml:space="preserve">GD0002</t>
  </si>
  <si>
    <t xml:space="preserve">Trần Quốc Bảo</t>
  </si>
  <si>
    <t xml:space="preserve">SV241007</t>
  </si>
  <si>
    <t xml:space="preserve">GD0003</t>
  </si>
  <si>
    <t xml:space="preserve">Lê Thị Cẩm Tú</t>
  </si>
  <si>
    <t xml:space="preserve">SV241014</t>
  </si>
  <si>
    <t xml:space="preserve">GD0004</t>
  </si>
  <si>
    <t xml:space="preserve">Phạm Hoàng Nam</t>
  </si>
  <si>
    <t xml:space="preserve">SV241021</t>
  </si>
  <si>
    <t xml:space="preserve">GD0005</t>
  </si>
  <si>
    <t xml:space="preserve">Võ Thanh Hằng</t>
  </si>
  <si>
    <t xml:space="preserve">SV241028</t>
  </si>
  <si>
    <t xml:space="preserve">GD0006</t>
  </si>
  <si>
    <t xml:space="preserve">Đặng Gia Huy</t>
  </si>
  <si>
    <t xml:space="preserve">SV241035</t>
  </si>
  <si>
    <t xml:space="preserve">GD0007</t>
  </si>
  <si>
    <t xml:space="preserve">Bùi Ngọc Lan</t>
  </si>
  <si>
    <t xml:space="preserve">SV241042</t>
  </si>
  <si>
    <t xml:space="preserve">GD0008</t>
  </si>
  <si>
    <t xml:space="preserve">Hoàng Đức Thịnh</t>
  </si>
  <si>
    <t xml:space="preserve">SV241049</t>
  </si>
  <si>
    <t xml:space="preserve">GD0009</t>
  </si>
  <si>
    <t xml:space="preserve">Ngô Khánh Linh</t>
  </si>
  <si>
    <t xml:space="preserve">SV241056</t>
  </si>
  <si>
    <t xml:space="preserve">GD0010</t>
  </si>
  <si>
    <t xml:space="preserve">Dương Tuấn Kiệt</t>
  </si>
  <si>
    <t xml:space="preserve">SV241063</t>
  </si>
  <si>
    <t xml:space="preserve">GD0011</t>
  </si>
  <si>
    <t xml:space="preserve">Huỳnh Mỹ Duyên</t>
  </si>
  <si>
    <t xml:space="preserve">SV241070</t>
  </si>
  <si>
    <t xml:space="preserve">GD0012</t>
  </si>
  <si>
    <t xml:space="preserve">Phan Thành Đạt</t>
  </si>
  <si>
    <t xml:space="preserve">SV241077</t>
  </si>
  <si>
    <t xml:space="preserve">GD0013</t>
  </si>
  <si>
    <t xml:space="preserve">Vũ Thảo Nguyên</t>
  </si>
  <si>
    <t xml:space="preserve">SV241084</t>
  </si>
  <si>
    <t xml:space="preserve">GD0014</t>
  </si>
  <si>
    <t xml:space="preserve">Đỗ Anh Khoa</t>
  </si>
  <si>
    <t xml:space="preserve">SV241091</t>
  </si>
  <si>
    <t xml:space="preserve">GD0015</t>
  </si>
  <si>
    <t xml:space="preserve">Lý Bích Ngọc</t>
  </si>
  <si>
    <t xml:space="preserve">SV241098</t>
  </si>
  <si>
    <t xml:space="preserve">GD0016</t>
  </si>
  <si>
    <t xml:space="preserve">Trương Hải Đăng</t>
  </si>
  <si>
    <t xml:space="preserve">SV241105</t>
  </si>
  <si>
    <t xml:space="preserve">GD0017</t>
  </si>
  <si>
    <t xml:space="preserve">Mai Phương Thảo</t>
  </si>
  <si>
    <t xml:space="preserve">SV241112</t>
  </si>
  <si>
    <t xml:space="preserve">GD0018</t>
  </si>
  <si>
    <t xml:space="preserve">Đinh Văn Long</t>
  </si>
  <si>
    <t xml:space="preserve">SV241119</t>
  </si>
  <si>
    <t xml:space="preserve">GD0019</t>
  </si>
  <si>
    <t xml:space="preserve">Cao Thuỳ Dương</t>
  </si>
  <si>
    <t xml:space="preserve">SV241126</t>
  </si>
  <si>
    <t xml:space="preserve">GD0020</t>
  </si>
  <si>
    <t xml:space="preserve">Lâm Gia Bảo</t>
  </si>
  <si>
    <t xml:space="preserve">SV241133</t>
  </si>
  <si>
    <t xml:space="preserve">GD0021</t>
  </si>
  <si>
    <t xml:space="preserve">Tô Hồng Nhung</t>
  </si>
  <si>
    <t xml:space="preserve">SV241140</t>
  </si>
  <si>
    <t xml:space="preserve">GD0022</t>
  </si>
  <si>
    <t xml:space="preserve">Châu Minh Trí</t>
  </si>
  <si>
    <t xml:space="preserve">SV241147</t>
  </si>
  <si>
    <t xml:space="preserve">GD0023</t>
  </si>
  <si>
    <t xml:space="preserve">Hà Kim Ngân</t>
  </si>
  <si>
    <t xml:space="preserve">SV241154</t>
  </si>
  <si>
    <t xml:space="preserve">GD0024</t>
  </si>
  <si>
    <t xml:space="preserve">Quách Tấn Phát</t>
  </si>
  <si>
    <t xml:space="preserve">SV241161</t>
  </si>
  <si>
    <t xml:space="preserve">GD0025</t>
  </si>
  <si>
    <t xml:space="preserve">Lương Yến Nhi</t>
  </si>
  <si>
    <t xml:space="preserve">SV241168</t>
  </si>
  <si>
    <t xml:space="preserve">GD0026</t>
  </si>
  <si>
    <t xml:space="preserve">Thái Bảo Châu</t>
  </si>
  <si>
    <t xml:space="preserve">SV241175</t>
  </si>
  <si>
    <t xml:space="preserve">GD0027</t>
  </si>
  <si>
    <t xml:space="preserve">Khúc Nhật Minh</t>
  </si>
  <si>
    <t xml:space="preserve">SV241182</t>
  </si>
  <si>
    <t xml:space="preserve">GD0028</t>
  </si>
  <si>
    <t xml:space="preserve">Tạ Diễm My</t>
  </si>
  <si>
    <t xml:space="preserve">SV241189</t>
  </si>
  <si>
    <t xml:space="preserve">Mã GD (dữ liệu thô)</t>
  </si>
  <si>
    <t xml:space="preserve">Mã GD (đã TRIM)</t>
  </si>
  <si>
    <t xml:space="preserve">Ngân hàng</t>
  </si>
  <si>
    <t xml:space="preserve">Ngày GD</t>
  </si>
  <si>
    <t xml:space="preserve">Số tiền PayKX (VND)</t>
  </si>
  <si>
    <t xml:space="preserve">Số tiền ngân hàng (VND)</t>
  </si>
  <si>
    <t xml:space="preserve">Chênh lệch (VND)</t>
  </si>
  <si>
    <t xml:space="preserve">Trạng thái</t>
  </si>
  <si>
    <t xml:space="preserve">TỔNG KẾT ĐỐI SOÁT</t>
  </si>
  <si>
    <t xml:space="preserve">  GD0001</t>
  </si>
  <si>
    <t xml:space="preserve">GD0002 </t>
  </si>
  <si>
    <t xml:space="preserve">Số giao dịch khớp</t>
  </si>
  <si>
    <t xml:space="preserve"> GD0003  </t>
  </si>
  <si>
    <t xml:space="preserve">Số giao dịch lệch</t>
  </si>
  <si>
    <t xml:space="preserve">Không tìm thấy người dùng</t>
  </si>
  <si>
    <t xml:space="preserve">  GD0005</t>
  </si>
  <si>
    <t xml:space="preserve">Tổng chênh lệch (VND)</t>
  </si>
  <si>
    <t xml:space="preserve">GD0006 </t>
  </si>
  <si>
    <t xml:space="preserve">Dữ liệu mẫu 30 giao dịch dùng để đối soát</t>
  </si>
  <si>
    <t xml:space="preserve"> GD0007  </t>
  </si>
  <si>
    <t xml:space="preserve">  GD0009</t>
  </si>
  <si>
    <t xml:space="preserve">GD0010 </t>
  </si>
  <si>
    <t xml:space="preserve"> GD0011  </t>
  </si>
  <si>
    <t xml:space="preserve">  GD0013</t>
  </si>
  <si>
    <t xml:space="preserve">GD0014 </t>
  </si>
  <si>
    <t xml:space="preserve"> GD0015  </t>
  </si>
  <si>
    <t xml:space="preserve">  GD0017</t>
  </si>
  <si>
    <t xml:space="preserve">GD0018 </t>
  </si>
  <si>
    <t xml:space="preserve"> GD0019  </t>
  </si>
  <si>
    <t xml:space="preserve">  GD0021</t>
  </si>
  <si>
    <t xml:space="preserve">GD0022 </t>
  </si>
  <si>
    <t xml:space="preserve"> GD0023  </t>
  </si>
  <si>
    <t xml:space="preserve">  GD0025</t>
  </si>
  <si>
    <t xml:space="preserve">GD0026 </t>
  </si>
  <si>
    <t xml:space="preserve"> GD0027  </t>
  </si>
  <si>
    <t xml:space="preserve">  GD0029</t>
  </si>
  <si>
    <t xml:space="preserve">GD0030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</si>
</sst>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00%"/>
    <numFmt numFmtId="168" formatCode="dd/mm/yyyy"/>
    <numFmt numFmtId="169" formatCode="#,##0;\-#,##0;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7B3A"/>
      <name val="Arial"/>
      <family val="0"/>
      <charset val="1"/>
    </font>
    <font>
      <i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B3A"/>
        <bgColor rgb="FF008080"/>
      </patternFill>
    </fill>
    <fill>
      <patternFill patternType="solid">
        <fgColor rgb="FFE8F3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7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3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3"/>
    <col collapsed="false" customWidth="true" hidden="false" outlineLevel="0" max="11" min="11" style="0" width="40"/>
    <col collapsed="false" customWidth="true" hidden="false" outlineLevel="0" max="12" min="12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4" t="s">
        <v>11</v>
      </c>
      <c r="L3" s="5"/>
    </row>
    <row r="4" customFormat="false" ht="15" hidden="false" customHeight="false" outlineLevel="0" collapsed="false">
      <c r="A4" s="6" t="n">
        <v>1</v>
      </c>
      <c r="B4" s="7" t="s">
        <v>12</v>
      </c>
      <c r="C4" s="6" t="s">
        <v>13</v>
      </c>
      <c r="D4" s="8" t="n">
        <v>128345</v>
      </c>
      <c r="E4" s="8" t="n">
        <v>25364580000</v>
      </c>
      <c r="F4" s="8" t="n">
        <v>1000000</v>
      </c>
      <c r="G4" s="9" t="n">
        <v>0.0008</v>
      </c>
      <c r="H4" s="10" t="n">
        <f aca="false">ROUND(E4*G4,0)</f>
        <v>20291664</v>
      </c>
      <c r="I4" s="10" t="n">
        <f aca="false">F4+H4</f>
        <v>21291664</v>
      </c>
      <c r="K4" s="7" t="s">
        <v>14</v>
      </c>
      <c r="L4" s="11" t="n">
        <f aca="false">E14</f>
        <v>120465420000</v>
      </c>
    </row>
    <row r="5" customFormat="false" ht="15" hidden="false" customHeight="false" outlineLevel="0" collapsed="false">
      <c r="A5" s="6" t="n">
        <v>2</v>
      </c>
      <c r="B5" s="7" t="s">
        <v>15</v>
      </c>
      <c r="C5" s="6" t="s">
        <v>15</v>
      </c>
      <c r="D5" s="8" t="n">
        <v>96732</v>
      </c>
      <c r="E5" s="8" t="n">
        <v>18245760000</v>
      </c>
      <c r="F5" s="8" t="n">
        <v>1000000</v>
      </c>
      <c r="G5" s="9" t="n">
        <v>0.0008</v>
      </c>
      <c r="H5" s="10" t="n">
        <f aca="false">ROUND(E5*G5,0)</f>
        <v>14596608</v>
      </c>
      <c r="I5" s="10" t="n">
        <f aca="false">F5+H5</f>
        <v>15596608</v>
      </c>
      <c r="K5" s="7" t="s">
        <v>16</v>
      </c>
      <c r="L5" s="11" t="n">
        <f aca="false">D14</f>
        <v>641023</v>
      </c>
    </row>
    <row r="6" customFormat="false" ht="15" hidden="false" customHeight="false" outlineLevel="0" collapsed="false">
      <c r="A6" s="6" t="n">
        <v>3</v>
      </c>
      <c r="B6" s="7" t="s">
        <v>17</v>
      </c>
      <c r="C6" s="6" t="s">
        <v>18</v>
      </c>
      <c r="D6" s="8" t="n">
        <v>87531</v>
      </c>
      <c r="E6" s="8" t="n">
        <v>16834210000</v>
      </c>
      <c r="F6" s="8" t="n">
        <v>1000000</v>
      </c>
      <c r="G6" s="9" t="n">
        <v>0.0007</v>
      </c>
      <c r="H6" s="10" t="n">
        <f aca="false">ROUND(E6*G6,0)</f>
        <v>11783947</v>
      </c>
      <c r="I6" s="10" t="n">
        <f aca="false">F6+H6</f>
        <v>12783947</v>
      </c>
      <c r="K6" s="7" t="s">
        <v>10</v>
      </c>
      <c r="L6" s="11" t="n">
        <f aca="false">I14</f>
        <v>103278682</v>
      </c>
    </row>
    <row r="7" customFormat="false" ht="15" hidden="false" customHeight="false" outlineLevel="0" collapsed="false">
      <c r="A7" s="6" t="n">
        <v>4</v>
      </c>
      <c r="B7" s="7" t="s">
        <v>19</v>
      </c>
      <c r="C7" s="6" t="s">
        <v>20</v>
      </c>
      <c r="D7" s="8" t="n">
        <v>74113</v>
      </c>
      <c r="E7" s="8" t="n">
        <v>14102330000</v>
      </c>
      <c r="F7" s="8" t="n">
        <v>1000000</v>
      </c>
      <c r="G7" s="9" t="n">
        <v>0.0007</v>
      </c>
      <c r="H7" s="10" t="n">
        <f aca="false">ROUND(E7*G7,0)</f>
        <v>9871631</v>
      </c>
      <c r="I7" s="10" t="n">
        <f aca="false">F7+H7</f>
        <v>10871631</v>
      </c>
      <c r="K7" s="7" t="s">
        <v>21</v>
      </c>
      <c r="L7" s="12" t="n">
        <f aca="false">H14/E14</f>
        <v>0.000774319153164452</v>
      </c>
    </row>
    <row r="8" customFormat="false" ht="15" hidden="false" customHeight="false" outlineLevel="0" collapsed="false">
      <c r="A8" s="6" t="n">
        <v>5</v>
      </c>
      <c r="B8" s="7" t="s">
        <v>22</v>
      </c>
      <c r="C8" s="6" t="s">
        <v>23</v>
      </c>
      <c r="D8" s="8" t="n">
        <v>63921</v>
      </c>
      <c r="E8" s="8" t="n">
        <v>12009880000</v>
      </c>
      <c r="F8" s="8" t="n">
        <v>1000000</v>
      </c>
      <c r="G8" s="9" t="n">
        <v>0.0008</v>
      </c>
      <c r="H8" s="10" t="n">
        <f aca="false">ROUND(E8*G8,0)</f>
        <v>9607904</v>
      </c>
      <c r="I8" s="10" t="n">
        <f aca="false">F8+H8</f>
        <v>10607904</v>
      </c>
      <c r="K8" s="13" t="s">
        <v>24</v>
      </c>
    </row>
    <row r="9" customFormat="false" ht="15" hidden="false" customHeight="false" outlineLevel="0" collapsed="false">
      <c r="A9" s="6" t="n">
        <v>6</v>
      </c>
      <c r="B9" s="7" t="s">
        <v>25</v>
      </c>
      <c r="C9" s="6" t="s">
        <v>25</v>
      </c>
      <c r="D9" s="8" t="n">
        <v>52448</v>
      </c>
      <c r="E9" s="8" t="n">
        <v>9455230000</v>
      </c>
      <c r="F9" s="8" t="n">
        <v>1000000</v>
      </c>
      <c r="G9" s="9" t="n">
        <v>0.0008</v>
      </c>
      <c r="H9" s="10" t="n">
        <f aca="false">ROUND(E9*G9,0)</f>
        <v>7564184</v>
      </c>
      <c r="I9" s="10" t="n">
        <f aca="false">F9+H9</f>
        <v>8564184</v>
      </c>
      <c r="K9" s="14" t="s">
        <v>26</v>
      </c>
    </row>
    <row r="10" customFormat="false" ht="15" hidden="false" customHeight="false" outlineLevel="0" collapsed="false">
      <c r="A10" s="6" t="n">
        <v>7</v>
      </c>
      <c r="B10" s="7" t="s">
        <v>27</v>
      </c>
      <c r="C10" s="6" t="s">
        <v>28</v>
      </c>
      <c r="D10" s="8" t="n">
        <v>49302</v>
      </c>
      <c r="E10" s="8" t="n">
        <v>8921450000</v>
      </c>
      <c r="F10" s="8" t="n">
        <v>1000000</v>
      </c>
      <c r="G10" s="9" t="n">
        <v>0.0008</v>
      </c>
      <c r="H10" s="10" t="n">
        <f aca="false">ROUND(E10*G10,0)</f>
        <v>7137160</v>
      </c>
      <c r="I10" s="10" t="n">
        <f aca="false">F10+H10</f>
        <v>8137160</v>
      </c>
      <c r="K10" s="14" t="s">
        <v>29</v>
      </c>
    </row>
    <row r="11" customFormat="false" ht="15" hidden="false" customHeight="false" outlineLevel="0" collapsed="false">
      <c r="A11" s="6" t="n">
        <v>8</v>
      </c>
      <c r="B11" s="7" t="s">
        <v>30</v>
      </c>
      <c r="C11" s="6" t="s">
        <v>31</v>
      </c>
      <c r="D11" s="8" t="n">
        <v>38654</v>
      </c>
      <c r="E11" s="8" t="n">
        <v>6784120000</v>
      </c>
      <c r="F11" s="8" t="n">
        <v>1000000</v>
      </c>
      <c r="G11" s="9" t="n">
        <v>0.0008</v>
      </c>
      <c r="H11" s="10" t="n">
        <f aca="false">ROUND(E11*G11,0)</f>
        <v>5427296</v>
      </c>
      <c r="I11" s="10" t="n">
        <f aca="false">F11+H11</f>
        <v>6427296</v>
      </c>
    </row>
    <row r="12" customFormat="false" ht="15" hidden="false" customHeight="false" outlineLevel="0" collapsed="false">
      <c r="A12" s="6" t="n">
        <v>9</v>
      </c>
      <c r="B12" s="7" t="s">
        <v>32</v>
      </c>
      <c r="C12" s="6" t="s">
        <v>32</v>
      </c>
      <c r="D12" s="8" t="n">
        <v>27832</v>
      </c>
      <c r="E12" s="8" t="n">
        <v>4982630000</v>
      </c>
      <c r="F12" s="8" t="n">
        <v>1000000</v>
      </c>
      <c r="G12" s="9" t="n">
        <v>0.0008</v>
      </c>
      <c r="H12" s="10" t="n">
        <f aca="false">ROUND(E12*G12,0)</f>
        <v>3986104</v>
      </c>
      <c r="I12" s="10" t="n">
        <f aca="false">F12+H12</f>
        <v>4986104</v>
      </c>
    </row>
    <row r="13" customFormat="false" ht="15" hidden="false" customHeight="false" outlineLevel="0" collapsed="false">
      <c r="A13" s="6" t="n">
        <v>10</v>
      </c>
      <c r="B13" s="7" t="s">
        <v>33</v>
      </c>
      <c r="C13" s="6" t="s">
        <v>33</v>
      </c>
      <c r="D13" s="8" t="n">
        <v>22145</v>
      </c>
      <c r="E13" s="8" t="n">
        <v>3765230000</v>
      </c>
      <c r="F13" s="8" t="n">
        <v>1000000</v>
      </c>
      <c r="G13" s="9" t="n">
        <v>0.0008</v>
      </c>
      <c r="H13" s="10" t="n">
        <f aca="false">ROUND(E13*G13,0)</f>
        <v>3012184</v>
      </c>
      <c r="I13" s="10" t="n">
        <f aca="false">F13+H13</f>
        <v>4012184</v>
      </c>
    </row>
    <row r="14" customFormat="false" ht="15" hidden="false" customHeight="false" outlineLevel="0" collapsed="false">
      <c r="A14" s="15" t="s">
        <v>34</v>
      </c>
      <c r="B14" s="15"/>
      <c r="C14" s="15"/>
      <c r="D14" s="16" t="n">
        <f aca="false">SUM(D4:D13)</f>
        <v>641023</v>
      </c>
      <c r="E14" s="16" t="n">
        <f aca="false">SUM(E4:E13)</f>
        <v>120465420000</v>
      </c>
      <c r="F14" s="16" t="n">
        <f aca="false">SUM(F4:F13)</f>
        <v>10000000</v>
      </c>
      <c r="G14" s="15"/>
      <c r="H14" s="16" t="n">
        <f aca="false">SUM(H4:H13)</f>
        <v>93278682</v>
      </c>
      <c r="I14" s="16" t="n">
        <f aca="false">SUM(I4:I13)</f>
        <v>103278682</v>
      </c>
    </row>
  </sheetData>
  <autoFilter ref="A3:I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7" t="s">
        <v>35</v>
      </c>
      <c r="B1" s="17" t="s">
        <v>36</v>
      </c>
      <c r="C1" s="17" t="s">
        <v>37</v>
      </c>
    </row>
    <row r="2" customFormat="false" ht="15" hidden="false" customHeight="false" outlineLevel="0" collapsed="false">
      <c r="A2" s="7" t="s">
        <v>38</v>
      </c>
      <c r="B2" s="7" t="s">
        <v>39</v>
      </c>
      <c r="C2" s="7" t="s">
        <v>40</v>
      </c>
    </row>
    <row r="3" customFormat="false" ht="15" hidden="false" customHeight="false" outlineLevel="0" collapsed="false">
      <c r="A3" s="7" t="s">
        <v>41</v>
      </c>
      <c r="B3" s="7" t="s">
        <v>42</v>
      </c>
      <c r="C3" s="7" t="s">
        <v>43</v>
      </c>
    </row>
    <row r="4" customFormat="false" ht="15" hidden="false" customHeight="false" outlineLevel="0" collapsed="false">
      <c r="A4" s="7" t="s">
        <v>44</v>
      </c>
      <c r="B4" s="7" t="s">
        <v>45</v>
      </c>
      <c r="C4" s="7" t="s">
        <v>46</v>
      </c>
    </row>
    <row r="5" customFormat="false" ht="15" hidden="false" customHeight="false" outlineLevel="0" collapsed="false">
      <c r="A5" s="7" t="s">
        <v>47</v>
      </c>
      <c r="B5" s="7" t="s">
        <v>48</v>
      </c>
      <c r="C5" s="7" t="s">
        <v>49</v>
      </c>
    </row>
    <row r="6" customFormat="false" ht="15" hidden="false" customHeight="false" outlineLevel="0" collapsed="false">
      <c r="A6" s="7" t="s">
        <v>50</v>
      </c>
      <c r="B6" s="7" t="s">
        <v>51</v>
      </c>
      <c r="C6" s="7" t="s">
        <v>52</v>
      </c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55</v>
      </c>
    </row>
    <row r="8" customFormat="false" ht="15" hidden="false" customHeight="false" outlineLevel="0" collapsed="false">
      <c r="A8" s="7" t="s">
        <v>56</v>
      </c>
      <c r="B8" s="7" t="s">
        <v>57</v>
      </c>
      <c r="C8" s="7" t="s">
        <v>58</v>
      </c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61</v>
      </c>
    </row>
    <row r="10" customFormat="false" ht="15" hidden="false" customHeight="false" outlineLevel="0" collapsed="false">
      <c r="A10" s="7" t="s">
        <v>62</v>
      </c>
      <c r="B10" s="7" t="s">
        <v>63</v>
      </c>
      <c r="C10" s="7" t="s">
        <v>64</v>
      </c>
    </row>
    <row r="11" customFormat="false" ht="15" hidden="false" customHeight="false" outlineLevel="0" collapsed="false">
      <c r="A11" s="7" t="s">
        <v>65</v>
      </c>
      <c r="B11" s="7" t="s">
        <v>66</v>
      </c>
      <c r="C11" s="7" t="s">
        <v>67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</row>
    <row r="13" customFormat="false" ht="15" hidden="false" customHeight="false" outlineLevel="0" collapsed="false">
      <c r="A13" s="7" t="s">
        <v>71</v>
      </c>
      <c r="B13" s="7" t="s">
        <v>72</v>
      </c>
      <c r="C13" s="7" t="s">
        <v>73</v>
      </c>
    </row>
    <row r="14" customFormat="false" ht="15" hidden="false" customHeight="false" outlineLevel="0" collapsed="false">
      <c r="A14" s="7" t="s">
        <v>74</v>
      </c>
      <c r="B14" s="7" t="s">
        <v>75</v>
      </c>
      <c r="C14" s="7" t="s">
        <v>76</v>
      </c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79</v>
      </c>
    </row>
    <row r="16" customFormat="false" ht="15" hidden="false" customHeight="false" outlineLevel="0" collapsed="false">
      <c r="A16" s="7" t="s">
        <v>80</v>
      </c>
      <c r="B16" s="7" t="s">
        <v>81</v>
      </c>
      <c r="C16" s="7" t="s">
        <v>82</v>
      </c>
    </row>
    <row r="17" customFormat="false" ht="15" hidden="false" customHeight="false" outlineLevel="0" collapsed="false">
      <c r="A17" s="7" t="s">
        <v>83</v>
      </c>
      <c r="B17" s="7" t="s">
        <v>84</v>
      </c>
      <c r="C17" s="7" t="s">
        <v>85</v>
      </c>
    </row>
    <row r="18" customFormat="false" ht="15" hidden="false" customHeight="false" outlineLevel="0" collapsed="false">
      <c r="A18" s="7" t="s">
        <v>86</v>
      </c>
      <c r="B18" s="7" t="s">
        <v>87</v>
      </c>
      <c r="C18" s="7" t="s">
        <v>88</v>
      </c>
    </row>
    <row r="19" customFormat="false" ht="15" hidden="false" customHeight="false" outlineLevel="0" collapsed="false">
      <c r="A19" s="7" t="s">
        <v>89</v>
      </c>
      <c r="B19" s="7" t="s">
        <v>90</v>
      </c>
      <c r="C19" s="7" t="s">
        <v>91</v>
      </c>
    </row>
    <row r="20" customFormat="false" ht="15" hidden="false" customHeight="false" outlineLevel="0" collapsed="false">
      <c r="A20" s="7" t="s">
        <v>92</v>
      </c>
      <c r="B20" s="7" t="s">
        <v>93</v>
      </c>
      <c r="C20" s="7" t="s">
        <v>94</v>
      </c>
    </row>
    <row r="21" customFormat="false" ht="15" hidden="false" customHeight="false" outlineLevel="0" collapsed="false">
      <c r="A21" s="7" t="s">
        <v>95</v>
      </c>
      <c r="B21" s="7" t="s">
        <v>96</v>
      </c>
      <c r="C21" s="7" t="s">
        <v>97</v>
      </c>
    </row>
    <row r="22" customFormat="false" ht="15" hidden="false" customHeight="false" outlineLevel="0" collapsed="false">
      <c r="A22" s="7" t="s">
        <v>98</v>
      </c>
      <c r="B22" s="7" t="s">
        <v>99</v>
      </c>
      <c r="C22" s="7" t="s">
        <v>100</v>
      </c>
    </row>
    <row r="23" customFormat="false" ht="15" hidden="false" customHeight="false" outlineLevel="0" collapsed="false">
      <c r="A23" s="7" t="s">
        <v>101</v>
      </c>
      <c r="B23" s="7" t="s">
        <v>102</v>
      </c>
      <c r="C23" s="7" t="s">
        <v>103</v>
      </c>
    </row>
    <row r="24" customFormat="false" ht="15" hidden="false" customHeight="false" outlineLevel="0" collapsed="false">
      <c r="A24" s="7" t="s">
        <v>104</v>
      </c>
      <c r="B24" s="7" t="s">
        <v>105</v>
      </c>
      <c r="C24" s="7" t="s">
        <v>106</v>
      </c>
    </row>
    <row r="25" customFormat="false" ht="15" hidden="false" customHeight="false" outlineLevel="0" collapsed="false">
      <c r="A25" s="7" t="s">
        <v>107</v>
      </c>
      <c r="B25" s="7" t="s">
        <v>108</v>
      </c>
      <c r="C25" s="7" t="s">
        <v>109</v>
      </c>
    </row>
    <row r="26" customFormat="false" ht="15" hidden="false" customHeight="false" outlineLevel="0" collapsed="false">
      <c r="A26" s="7" t="s">
        <v>110</v>
      </c>
      <c r="B26" s="7" t="s">
        <v>111</v>
      </c>
      <c r="C26" s="7" t="s">
        <v>112</v>
      </c>
    </row>
    <row r="27" customFormat="false" ht="15" hidden="false" customHeight="false" outlineLevel="0" collapsed="false">
      <c r="A27" s="7" t="s">
        <v>113</v>
      </c>
      <c r="B27" s="7" t="s">
        <v>114</v>
      </c>
      <c r="C27" s="7" t="s">
        <v>115</v>
      </c>
    </row>
    <row r="28" customFormat="false" ht="15" hidden="false" customHeight="false" outlineLevel="0" collapsed="false">
      <c r="A28" s="7" t="s">
        <v>116</v>
      </c>
      <c r="B28" s="7" t="s">
        <v>117</v>
      </c>
      <c r="C28" s="7" t="s">
        <v>118</v>
      </c>
    </row>
    <row r="29" customFormat="false" ht="15" hidden="false" customHeight="false" outlineLevel="0" collapsed="false">
      <c r="A29" s="7" t="s">
        <v>119</v>
      </c>
      <c r="B29" s="7" t="s">
        <v>120</v>
      </c>
      <c r="C29" s="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1" min="11" style="0" width="40"/>
    <col collapsed="false" customWidth="true" hidden="false" outlineLevel="0" max="12" min="12" style="0" width="16"/>
  </cols>
  <sheetData>
    <row r="1" customFormat="false" ht="36" hidden="false" customHeight="true" outlineLevel="0" collapsed="false">
      <c r="A1" s="3" t="s">
        <v>122</v>
      </c>
      <c r="B1" s="3" t="s">
        <v>123</v>
      </c>
      <c r="C1" s="3" t="s">
        <v>36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  <c r="K1" s="4" t="s">
        <v>130</v>
      </c>
      <c r="L1" s="5"/>
    </row>
    <row r="2" customFormat="false" ht="15" hidden="false" customHeight="false" outlineLevel="0" collapsed="false">
      <c r="A2" s="18" t="s">
        <v>131</v>
      </c>
      <c r="B2" s="7" t="str">
        <f aca="false">TRIM(A2)</f>
        <v>GD0001</v>
      </c>
      <c r="C2" s="7" t="str">
        <f aca="false">IFERROR(VLOOKUP(B2,'Bang tra cuu'!$A$2:$B$29,2,FALSE()),"Không tìm thấy")</f>
        <v>Nguyễn Minh Anh</v>
      </c>
      <c r="D2" s="19" t="s">
        <v>13</v>
      </c>
      <c r="E2" s="20" t="n">
        <v>45443</v>
      </c>
      <c r="F2" s="21" t="n">
        <v>500000</v>
      </c>
      <c r="G2" s="21" t="n">
        <v>500000</v>
      </c>
      <c r="H2" s="22" t="n">
        <f aca="false">G2-F2</f>
        <v>0</v>
      </c>
      <c r="I2" s="6" t="str">
        <f aca="false">IF(H2=0,"Khớp","Lệch")</f>
        <v>Khớp</v>
      </c>
      <c r="K2" s="7" t="s">
        <v>16</v>
      </c>
      <c r="L2" s="23" t="n">
        <f aca="false">COUNTA(B2:B31)</f>
        <v>30</v>
      </c>
    </row>
    <row r="3" customFormat="false" ht="15" hidden="false" customHeight="false" outlineLevel="0" collapsed="false">
      <c r="A3" s="18" t="s">
        <v>132</v>
      </c>
      <c r="B3" s="7" t="str">
        <f aca="false">TRIM(A3)</f>
        <v>GD0002</v>
      </c>
      <c r="C3" s="7" t="str">
        <f aca="false">IFERROR(VLOOKUP(B3,'Bang tra cuu'!$A$2:$B$29,2,FALSE()),"Không tìm thấy")</f>
        <v>Trần Quốc Bảo</v>
      </c>
      <c r="D3" s="19" t="s">
        <v>15</v>
      </c>
      <c r="E3" s="20" t="n">
        <v>45425</v>
      </c>
      <c r="F3" s="21" t="n">
        <v>150000</v>
      </c>
      <c r="G3" s="21" t="n">
        <v>150000</v>
      </c>
      <c r="H3" s="22" t="n">
        <f aca="false">G3-F3</f>
        <v>0</v>
      </c>
      <c r="I3" s="6" t="str">
        <f aca="false">IF(H3=0,"Khớp","Lệch")</f>
        <v>Khớp</v>
      </c>
      <c r="K3" s="7" t="s">
        <v>133</v>
      </c>
      <c r="L3" s="23" t="n">
        <f aca="false">COUNTIF(I2:I31,"Khớp")</f>
        <v>26</v>
      </c>
    </row>
    <row r="4" customFormat="false" ht="15" hidden="false" customHeight="false" outlineLevel="0" collapsed="false">
      <c r="A4" s="18" t="s">
        <v>134</v>
      </c>
      <c r="B4" s="7" t="str">
        <f aca="false">TRIM(A4)</f>
        <v>GD0003</v>
      </c>
      <c r="C4" s="7" t="str">
        <f aca="false">IFERROR(VLOOKUP(B4,'Bang tra cuu'!$A$2:$B$29,2,FALSE()),"Không tìm thấy")</f>
        <v>Lê Thị Cẩm Tú</v>
      </c>
      <c r="D4" s="19" t="s">
        <v>18</v>
      </c>
      <c r="E4" s="20" t="n">
        <v>45415</v>
      </c>
      <c r="F4" s="21" t="n">
        <v>50000</v>
      </c>
      <c r="G4" s="21" t="n">
        <v>50000</v>
      </c>
      <c r="H4" s="22" t="n">
        <f aca="false">G4-F4</f>
        <v>0</v>
      </c>
      <c r="I4" s="6" t="str">
        <f aca="false">IF(H4=0,"Khớp","Lệch")</f>
        <v>Khớp</v>
      </c>
      <c r="K4" s="7" t="s">
        <v>135</v>
      </c>
      <c r="L4" s="23" t="n">
        <f aca="false">COUNTIF(I2:I31,"Lệch")</f>
        <v>4</v>
      </c>
    </row>
    <row r="5" customFormat="false" ht="15" hidden="false" customHeight="false" outlineLevel="0" collapsed="false">
      <c r="A5" s="18" t="s">
        <v>47</v>
      </c>
      <c r="B5" s="7" t="str">
        <f aca="false">TRIM(A5)</f>
        <v>GD0004</v>
      </c>
      <c r="C5" s="7" t="str">
        <f aca="false">IFERROR(VLOOKUP(B5,'Bang tra cuu'!$A$2:$B$29,2,FALSE()),"Không tìm thấy")</f>
        <v>Phạm Hoàng Nam</v>
      </c>
      <c r="D5" s="19" t="s">
        <v>20</v>
      </c>
      <c r="E5" s="20" t="n">
        <v>45424</v>
      </c>
      <c r="F5" s="21" t="n">
        <v>100000</v>
      </c>
      <c r="G5" s="21" t="n">
        <v>100000</v>
      </c>
      <c r="H5" s="22" t="n">
        <f aca="false">G5-F5</f>
        <v>0</v>
      </c>
      <c r="I5" s="6" t="str">
        <f aca="false">IF(H5=0,"Khớp","Lệch")</f>
        <v>Khớp</v>
      </c>
      <c r="K5" s="7" t="s">
        <v>136</v>
      </c>
      <c r="L5" s="23" t="n">
        <f aca="false">COUNTIF(C2:C31,"Không tìm thấy")</f>
        <v>2</v>
      </c>
    </row>
    <row r="6" customFormat="false" ht="15" hidden="false" customHeight="false" outlineLevel="0" collapsed="false">
      <c r="A6" s="18" t="s">
        <v>137</v>
      </c>
      <c r="B6" s="7" t="str">
        <f aca="false">TRIM(A6)</f>
        <v>GD0005</v>
      </c>
      <c r="C6" s="7" t="str">
        <f aca="false">IFERROR(VLOOKUP(B6,'Bang tra cuu'!$A$2:$B$29,2,FALSE()),"Không tìm thấy")</f>
        <v>Võ Thanh Hằng</v>
      </c>
      <c r="D6" s="19" t="s">
        <v>23</v>
      </c>
      <c r="E6" s="20" t="n">
        <v>45442</v>
      </c>
      <c r="F6" s="21" t="n">
        <v>50000</v>
      </c>
      <c r="G6" s="21" t="n">
        <v>30000</v>
      </c>
      <c r="H6" s="22" t="n">
        <f aca="false">G6-F6</f>
        <v>-20000</v>
      </c>
      <c r="I6" s="6" t="str">
        <f aca="false">IF(H6=0,"Khớp","Lệch")</f>
        <v>Lệch</v>
      </c>
      <c r="K6" s="7" t="s">
        <v>138</v>
      </c>
      <c r="L6" s="23" t="n">
        <f aca="false">SUM(H2:H31)</f>
        <v>125000</v>
      </c>
    </row>
    <row r="7" customFormat="false" ht="15" hidden="false" customHeight="false" outlineLevel="0" collapsed="false">
      <c r="A7" s="18" t="s">
        <v>139</v>
      </c>
      <c r="B7" s="7" t="str">
        <f aca="false">TRIM(A7)</f>
        <v>GD0006</v>
      </c>
      <c r="C7" s="7" t="str">
        <f aca="false">IFERROR(VLOOKUP(B7,'Bang tra cuu'!$A$2:$B$29,2,FALSE()),"Không tìm thấy")</f>
        <v>Đặng Gia Huy</v>
      </c>
      <c r="D7" s="19" t="s">
        <v>25</v>
      </c>
      <c r="E7" s="20" t="n">
        <v>45414</v>
      </c>
      <c r="F7" s="21" t="n">
        <v>200000</v>
      </c>
      <c r="G7" s="21" t="n">
        <v>200000</v>
      </c>
      <c r="H7" s="22" t="n">
        <f aca="false">G7-F7</f>
        <v>0</v>
      </c>
      <c r="I7" s="6" t="str">
        <f aca="false">IF(H7=0,"Khớp","Lệch")</f>
        <v>Khớp</v>
      </c>
      <c r="K7" s="24" t="s">
        <v>140</v>
      </c>
    </row>
    <row r="8" customFormat="false" ht="15" hidden="false" customHeight="false" outlineLevel="0" collapsed="false">
      <c r="A8" s="18" t="s">
        <v>141</v>
      </c>
      <c r="B8" s="7" t="str">
        <f aca="false">TRIM(A8)</f>
        <v>GD0007</v>
      </c>
      <c r="C8" s="7" t="str">
        <f aca="false">IFERROR(VLOOKUP(B8,'Bang tra cuu'!$A$2:$B$29,2,FALSE()),"Không tìm thấy")</f>
        <v>Bùi Ngọc Lan</v>
      </c>
      <c r="D8" s="19" t="s">
        <v>28</v>
      </c>
      <c r="E8" s="20" t="n">
        <v>45426</v>
      </c>
      <c r="F8" s="21" t="n">
        <v>100000</v>
      </c>
      <c r="G8" s="21" t="n">
        <v>100000</v>
      </c>
      <c r="H8" s="22" t="n">
        <f aca="false">G8-F8</f>
        <v>0</v>
      </c>
      <c r="I8" s="6" t="str">
        <f aca="false">IF(H8=0,"Khớp","Lệch")</f>
        <v>Khớp</v>
      </c>
    </row>
    <row r="9" customFormat="false" ht="15" hidden="false" customHeight="false" outlineLevel="0" collapsed="false">
      <c r="A9" s="18" t="s">
        <v>59</v>
      </c>
      <c r="B9" s="7" t="str">
        <f aca="false">TRIM(A9)</f>
        <v>GD0008</v>
      </c>
      <c r="C9" s="7" t="str">
        <f aca="false">IFERROR(VLOOKUP(B9,'Bang tra cuu'!$A$2:$B$29,2,FALSE()),"Không tìm thấy")</f>
        <v>Hoàng Đức Thịnh</v>
      </c>
      <c r="D9" s="19" t="s">
        <v>31</v>
      </c>
      <c r="E9" s="20" t="n">
        <v>45415</v>
      </c>
      <c r="F9" s="21" t="n">
        <v>1000000</v>
      </c>
      <c r="G9" s="21" t="n">
        <v>1000000</v>
      </c>
      <c r="H9" s="22" t="n">
        <f aca="false">G9-F9</f>
        <v>0</v>
      </c>
      <c r="I9" s="6" t="str">
        <f aca="false">IF(H9=0,"Khớp","Lệch")</f>
        <v>Khớp</v>
      </c>
    </row>
    <row r="10" customFormat="false" ht="15" hidden="false" customHeight="false" outlineLevel="0" collapsed="false">
      <c r="A10" s="18" t="s">
        <v>142</v>
      </c>
      <c r="B10" s="7" t="str">
        <f aca="false">TRIM(A10)</f>
        <v>GD0009</v>
      </c>
      <c r="C10" s="7" t="str">
        <f aca="false">IFERROR(VLOOKUP(B10,'Bang tra cuu'!$A$2:$B$29,2,FALSE()),"Không tìm thấy")</f>
        <v>Ngô Khánh Linh</v>
      </c>
      <c r="D10" s="19" t="s">
        <v>32</v>
      </c>
      <c r="E10" s="20" t="n">
        <v>45415</v>
      </c>
      <c r="F10" s="21" t="n">
        <v>200000</v>
      </c>
      <c r="G10" s="21" t="n">
        <v>200000</v>
      </c>
      <c r="H10" s="22" t="n">
        <f aca="false">G10-F10</f>
        <v>0</v>
      </c>
      <c r="I10" s="6" t="str">
        <f aca="false">IF(H10=0,"Khớp","Lệch")</f>
        <v>Khớp</v>
      </c>
    </row>
    <row r="11" customFormat="false" ht="15" hidden="false" customHeight="false" outlineLevel="0" collapsed="false">
      <c r="A11" s="18" t="s">
        <v>143</v>
      </c>
      <c r="B11" s="7" t="str">
        <f aca="false">TRIM(A11)</f>
        <v>GD0010</v>
      </c>
      <c r="C11" s="7" t="str">
        <f aca="false">IFERROR(VLOOKUP(B11,'Bang tra cuu'!$A$2:$B$29,2,FALSE()),"Không tìm thấy")</f>
        <v>Dương Tuấn Kiệt</v>
      </c>
      <c r="D11" s="19" t="s">
        <v>33</v>
      </c>
      <c r="E11" s="20" t="n">
        <v>45414</v>
      </c>
      <c r="F11" s="21" t="n">
        <v>1000000</v>
      </c>
      <c r="G11" s="21" t="n">
        <v>1000000</v>
      </c>
      <c r="H11" s="22" t="n">
        <f aca="false">G11-F11</f>
        <v>0</v>
      </c>
      <c r="I11" s="6" t="str">
        <f aca="false">IF(H11=0,"Khớp","Lệch")</f>
        <v>Khớp</v>
      </c>
    </row>
    <row r="12" customFormat="false" ht="15" hidden="false" customHeight="false" outlineLevel="0" collapsed="false">
      <c r="A12" s="18" t="s">
        <v>144</v>
      </c>
      <c r="B12" s="7" t="str">
        <f aca="false">TRIM(A12)</f>
        <v>GD0011</v>
      </c>
      <c r="C12" s="7" t="str">
        <f aca="false">IFERROR(VLOOKUP(B12,'Bang tra cuu'!$A$2:$B$29,2,FALSE()),"Không tìm thấy")</f>
        <v>Huỳnh Mỹ Duyên</v>
      </c>
      <c r="D12" s="19" t="s">
        <v>13</v>
      </c>
      <c r="E12" s="20" t="n">
        <v>45443</v>
      </c>
      <c r="F12" s="21" t="n">
        <v>100000</v>
      </c>
      <c r="G12" s="21" t="n">
        <v>100000</v>
      </c>
      <c r="H12" s="22" t="n">
        <f aca="false">G12-F12</f>
        <v>0</v>
      </c>
      <c r="I12" s="6" t="str">
        <f aca="false">IF(H12=0,"Khớp","Lệch")</f>
        <v>Khớp</v>
      </c>
    </row>
    <row r="13" customFormat="false" ht="15" hidden="false" customHeight="false" outlineLevel="0" collapsed="false">
      <c r="A13" s="18" t="s">
        <v>71</v>
      </c>
      <c r="B13" s="7" t="str">
        <f aca="false">TRIM(A13)</f>
        <v>GD0012</v>
      </c>
      <c r="C13" s="7" t="str">
        <f aca="false">IFERROR(VLOOKUP(B13,'Bang tra cuu'!$A$2:$B$29,2,FALSE()),"Không tìm thấy")</f>
        <v>Phan Thành Đạt</v>
      </c>
      <c r="D13" s="19" t="s">
        <v>15</v>
      </c>
      <c r="E13" s="20" t="n">
        <v>45433</v>
      </c>
      <c r="F13" s="21" t="n">
        <v>200000</v>
      </c>
      <c r="G13" s="21" t="n">
        <v>250000</v>
      </c>
      <c r="H13" s="22" t="n">
        <f aca="false">G13-F13</f>
        <v>50000</v>
      </c>
      <c r="I13" s="6" t="str">
        <f aca="false">IF(H13=0,"Khớp","Lệch")</f>
        <v>Lệch</v>
      </c>
    </row>
    <row r="14" customFormat="false" ht="15" hidden="false" customHeight="false" outlineLevel="0" collapsed="false">
      <c r="A14" s="18" t="s">
        <v>145</v>
      </c>
      <c r="B14" s="7" t="str">
        <f aca="false">TRIM(A14)</f>
        <v>GD0013</v>
      </c>
      <c r="C14" s="7" t="str">
        <f aca="false">IFERROR(VLOOKUP(B14,'Bang tra cuu'!$A$2:$B$29,2,FALSE()),"Không tìm thấy")</f>
        <v>Vũ Thảo Nguyên</v>
      </c>
      <c r="D14" s="19" t="s">
        <v>18</v>
      </c>
      <c r="E14" s="20" t="n">
        <v>45431</v>
      </c>
      <c r="F14" s="21" t="n">
        <v>50000</v>
      </c>
      <c r="G14" s="21" t="n">
        <v>50000</v>
      </c>
      <c r="H14" s="22" t="n">
        <f aca="false">G14-F14</f>
        <v>0</v>
      </c>
      <c r="I14" s="6" t="str">
        <f aca="false">IF(H14=0,"Khớp","Lệch")</f>
        <v>Khớp</v>
      </c>
    </row>
    <row r="15" customFormat="false" ht="15" hidden="false" customHeight="false" outlineLevel="0" collapsed="false">
      <c r="A15" s="18" t="s">
        <v>146</v>
      </c>
      <c r="B15" s="7" t="str">
        <f aca="false">TRIM(A15)</f>
        <v>GD0014</v>
      </c>
      <c r="C15" s="7" t="str">
        <f aca="false">IFERROR(VLOOKUP(B15,'Bang tra cuu'!$A$2:$B$29,2,FALSE()),"Không tìm thấy")</f>
        <v>Đỗ Anh Khoa</v>
      </c>
      <c r="D15" s="19" t="s">
        <v>20</v>
      </c>
      <c r="E15" s="20" t="n">
        <v>45414</v>
      </c>
      <c r="F15" s="21" t="n">
        <v>1000000</v>
      </c>
      <c r="G15" s="21" t="n">
        <v>1000000</v>
      </c>
      <c r="H15" s="22" t="n">
        <f aca="false">G15-F15</f>
        <v>0</v>
      </c>
      <c r="I15" s="6" t="str">
        <f aca="false">IF(H15=0,"Khớp","Lệch")</f>
        <v>Khớp</v>
      </c>
    </row>
    <row r="16" customFormat="false" ht="15" hidden="false" customHeight="false" outlineLevel="0" collapsed="false">
      <c r="A16" s="18" t="s">
        <v>147</v>
      </c>
      <c r="B16" s="7" t="str">
        <f aca="false">TRIM(A16)</f>
        <v>GD0015</v>
      </c>
      <c r="C16" s="7" t="str">
        <f aca="false">IFERROR(VLOOKUP(B16,'Bang tra cuu'!$A$2:$B$29,2,FALSE()),"Không tìm thấy")</f>
        <v>Lý Bích Ngọc</v>
      </c>
      <c r="D16" s="19" t="s">
        <v>23</v>
      </c>
      <c r="E16" s="20" t="n">
        <v>45414</v>
      </c>
      <c r="F16" s="21" t="n">
        <v>200000</v>
      </c>
      <c r="G16" s="21" t="n">
        <v>200000</v>
      </c>
      <c r="H16" s="22" t="n">
        <f aca="false">G16-F16</f>
        <v>0</v>
      </c>
      <c r="I16" s="6" t="str">
        <f aca="false">IF(H16=0,"Khớp","Lệch")</f>
        <v>Khớp</v>
      </c>
    </row>
    <row r="17" customFormat="false" ht="15" hidden="false" customHeight="false" outlineLevel="0" collapsed="false">
      <c r="A17" s="18" t="s">
        <v>83</v>
      </c>
      <c r="B17" s="7" t="str">
        <f aca="false">TRIM(A17)</f>
        <v>GD0016</v>
      </c>
      <c r="C17" s="7" t="str">
        <f aca="false">IFERROR(VLOOKUP(B17,'Bang tra cuu'!$A$2:$B$29,2,FALSE()),"Không tìm thấy")</f>
        <v>Trương Hải Đăng</v>
      </c>
      <c r="D17" s="19" t="s">
        <v>25</v>
      </c>
      <c r="E17" s="20" t="n">
        <v>45422</v>
      </c>
      <c r="F17" s="21" t="n">
        <v>150000</v>
      </c>
      <c r="G17" s="21" t="n">
        <v>150000</v>
      </c>
      <c r="H17" s="22" t="n">
        <f aca="false">G17-F17</f>
        <v>0</v>
      </c>
      <c r="I17" s="6" t="str">
        <f aca="false">IF(H17=0,"Khớp","Lệch")</f>
        <v>Khớp</v>
      </c>
    </row>
    <row r="18" customFormat="false" ht="15" hidden="false" customHeight="false" outlineLevel="0" collapsed="false">
      <c r="A18" s="18" t="s">
        <v>148</v>
      </c>
      <c r="B18" s="7" t="str">
        <f aca="false">TRIM(A18)</f>
        <v>GD0017</v>
      </c>
      <c r="C18" s="7" t="str">
        <f aca="false">IFERROR(VLOOKUP(B18,'Bang tra cuu'!$A$2:$B$29,2,FALSE()),"Không tìm thấy")</f>
        <v>Mai Phương Thảo</v>
      </c>
      <c r="D18" s="19" t="s">
        <v>28</v>
      </c>
      <c r="E18" s="20" t="n">
        <v>45417</v>
      </c>
      <c r="F18" s="21" t="n">
        <v>1000000</v>
      </c>
      <c r="G18" s="21" t="n">
        <v>1000000</v>
      </c>
      <c r="H18" s="22" t="n">
        <f aca="false">G18-F18</f>
        <v>0</v>
      </c>
      <c r="I18" s="6" t="str">
        <f aca="false">IF(H18=0,"Khớp","Lệch")</f>
        <v>Khớp</v>
      </c>
    </row>
    <row r="19" customFormat="false" ht="15" hidden="false" customHeight="false" outlineLevel="0" collapsed="false">
      <c r="A19" s="18" t="s">
        <v>149</v>
      </c>
      <c r="B19" s="7" t="str">
        <f aca="false">TRIM(A19)</f>
        <v>GD0018</v>
      </c>
      <c r="C19" s="7" t="str">
        <f aca="false">IFERROR(VLOOKUP(B19,'Bang tra cuu'!$A$2:$B$29,2,FALSE()),"Không tìm thấy")</f>
        <v>Đinh Văn Long</v>
      </c>
      <c r="D19" s="19" t="s">
        <v>31</v>
      </c>
      <c r="E19" s="20" t="n">
        <v>45431</v>
      </c>
      <c r="F19" s="21" t="n">
        <v>100000</v>
      </c>
      <c r="G19" s="21" t="n">
        <v>100000</v>
      </c>
      <c r="H19" s="22" t="n">
        <f aca="false">G19-F19</f>
        <v>0</v>
      </c>
      <c r="I19" s="6" t="str">
        <f aca="false">IF(H19=0,"Khớp","Lệch")</f>
        <v>Khớp</v>
      </c>
    </row>
    <row r="20" customFormat="false" ht="15" hidden="false" customHeight="false" outlineLevel="0" collapsed="false">
      <c r="A20" s="18" t="s">
        <v>150</v>
      </c>
      <c r="B20" s="7" t="str">
        <f aca="false">TRIM(A20)</f>
        <v>GD0019</v>
      </c>
      <c r="C20" s="7" t="str">
        <f aca="false">IFERROR(VLOOKUP(B20,'Bang tra cuu'!$A$2:$B$29,2,FALSE()),"Không tìm thấy")</f>
        <v>Cao Thuỳ Dương</v>
      </c>
      <c r="D20" s="19" t="s">
        <v>32</v>
      </c>
      <c r="E20" s="20" t="n">
        <v>45430</v>
      </c>
      <c r="F20" s="21" t="n">
        <v>300000</v>
      </c>
      <c r="G20" s="21" t="n">
        <v>295000</v>
      </c>
      <c r="H20" s="22" t="n">
        <f aca="false">G20-F20</f>
        <v>-5000</v>
      </c>
      <c r="I20" s="6" t="str">
        <f aca="false">IF(H20=0,"Khớp","Lệch")</f>
        <v>Lệch</v>
      </c>
    </row>
    <row r="21" customFormat="false" ht="15" hidden="false" customHeight="false" outlineLevel="0" collapsed="false">
      <c r="A21" s="18" t="s">
        <v>95</v>
      </c>
      <c r="B21" s="7" t="str">
        <f aca="false">TRIM(A21)</f>
        <v>GD0020</v>
      </c>
      <c r="C21" s="7" t="str">
        <f aca="false">IFERROR(VLOOKUP(B21,'Bang tra cuu'!$A$2:$B$29,2,FALSE()),"Không tìm thấy")</f>
        <v>Lâm Gia Bảo</v>
      </c>
      <c r="D21" s="19" t="s">
        <v>33</v>
      </c>
      <c r="E21" s="20" t="n">
        <v>45416</v>
      </c>
      <c r="F21" s="21" t="n">
        <v>150000</v>
      </c>
      <c r="G21" s="21" t="n">
        <v>150000</v>
      </c>
      <c r="H21" s="22" t="n">
        <f aca="false">G21-F21</f>
        <v>0</v>
      </c>
      <c r="I21" s="6" t="str">
        <f aca="false">IF(H21=0,"Khớp","Lệch")</f>
        <v>Khớp</v>
      </c>
    </row>
    <row r="22" customFormat="false" ht="15" hidden="false" customHeight="false" outlineLevel="0" collapsed="false">
      <c r="A22" s="18" t="s">
        <v>151</v>
      </c>
      <c r="B22" s="7" t="str">
        <f aca="false">TRIM(A22)</f>
        <v>GD0021</v>
      </c>
      <c r="C22" s="7" t="str">
        <f aca="false">IFERROR(VLOOKUP(B22,'Bang tra cuu'!$A$2:$B$29,2,FALSE()),"Không tìm thấy")</f>
        <v>Tô Hồng Nhung</v>
      </c>
      <c r="D22" s="19" t="s">
        <v>13</v>
      </c>
      <c r="E22" s="20" t="n">
        <v>45424</v>
      </c>
      <c r="F22" s="21" t="n">
        <v>200000</v>
      </c>
      <c r="G22" s="21" t="n">
        <v>200000</v>
      </c>
      <c r="H22" s="22" t="n">
        <f aca="false">G22-F22</f>
        <v>0</v>
      </c>
      <c r="I22" s="6" t="str">
        <f aca="false">IF(H22=0,"Khớp","Lệch")</f>
        <v>Khớp</v>
      </c>
    </row>
    <row r="23" customFormat="false" ht="15" hidden="false" customHeight="false" outlineLevel="0" collapsed="false">
      <c r="A23" s="18" t="s">
        <v>152</v>
      </c>
      <c r="B23" s="7" t="str">
        <f aca="false">TRIM(A23)</f>
        <v>GD0022</v>
      </c>
      <c r="C23" s="7" t="str">
        <f aca="false">IFERROR(VLOOKUP(B23,'Bang tra cuu'!$A$2:$B$29,2,FALSE()),"Không tìm thấy")</f>
        <v>Châu Minh Trí</v>
      </c>
      <c r="D23" s="19" t="s">
        <v>15</v>
      </c>
      <c r="E23" s="20" t="n">
        <v>45430</v>
      </c>
      <c r="F23" s="21" t="n">
        <v>100000</v>
      </c>
      <c r="G23" s="21" t="n">
        <v>100000</v>
      </c>
      <c r="H23" s="22" t="n">
        <f aca="false">G23-F23</f>
        <v>0</v>
      </c>
      <c r="I23" s="6" t="str">
        <f aca="false">IF(H23=0,"Khớp","Lệch")</f>
        <v>Khớp</v>
      </c>
    </row>
    <row r="24" customFormat="false" ht="15" hidden="false" customHeight="false" outlineLevel="0" collapsed="false">
      <c r="A24" s="18" t="s">
        <v>153</v>
      </c>
      <c r="B24" s="7" t="str">
        <f aca="false">TRIM(A24)</f>
        <v>GD0023</v>
      </c>
      <c r="C24" s="7" t="str">
        <f aca="false">IFERROR(VLOOKUP(B24,'Bang tra cuu'!$A$2:$B$29,2,FALSE()),"Không tìm thấy")</f>
        <v>Hà Kim Ngân</v>
      </c>
      <c r="D24" s="19" t="s">
        <v>18</v>
      </c>
      <c r="E24" s="20" t="n">
        <v>45431</v>
      </c>
      <c r="F24" s="21" t="n">
        <v>100000</v>
      </c>
      <c r="G24" s="21" t="n">
        <v>100000</v>
      </c>
      <c r="H24" s="22" t="n">
        <f aca="false">G24-F24</f>
        <v>0</v>
      </c>
      <c r="I24" s="6" t="str">
        <f aca="false">IF(H24=0,"Khớp","Lệch")</f>
        <v>Khớp</v>
      </c>
    </row>
    <row r="25" customFormat="false" ht="15" hidden="false" customHeight="false" outlineLevel="0" collapsed="false">
      <c r="A25" s="18" t="s">
        <v>107</v>
      </c>
      <c r="B25" s="7" t="str">
        <f aca="false">TRIM(A25)</f>
        <v>GD0024</v>
      </c>
      <c r="C25" s="7" t="str">
        <f aca="false">IFERROR(VLOOKUP(B25,'Bang tra cuu'!$A$2:$B$29,2,FALSE()),"Không tìm thấy")</f>
        <v>Quách Tấn Phát</v>
      </c>
      <c r="D25" s="19" t="s">
        <v>20</v>
      </c>
      <c r="E25" s="20" t="n">
        <v>45432</v>
      </c>
      <c r="F25" s="21" t="n">
        <v>50000</v>
      </c>
      <c r="G25" s="21" t="n">
        <v>50000</v>
      </c>
      <c r="H25" s="22" t="n">
        <f aca="false">G25-F25</f>
        <v>0</v>
      </c>
      <c r="I25" s="6" t="str">
        <f aca="false">IF(H25=0,"Khớp","Lệch")</f>
        <v>Khớp</v>
      </c>
    </row>
    <row r="26" customFormat="false" ht="15" hidden="false" customHeight="false" outlineLevel="0" collapsed="false">
      <c r="A26" s="18" t="s">
        <v>154</v>
      </c>
      <c r="B26" s="7" t="str">
        <f aca="false">TRIM(A26)</f>
        <v>GD0025</v>
      </c>
      <c r="C26" s="7" t="str">
        <f aca="false">IFERROR(VLOOKUP(B26,'Bang tra cuu'!$A$2:$B$29,2,FALSE()),"Không tìm thấy")</f>
        <v>Lương Yến Nhi</v>
      </c>
      <c r="D26" s="19" t="s">
        <v>23</v>
      </c>
      <c r="E26" s="20" t="n">
        <v>45428</v>
      </c>
      <c r="F26" s="21" t="n">
        <v>200000</v>
      </c>
      <c r="G26" s="21" t="n">
        <v>200000</v>
      </c>
      <c r="H26" s="22" t="n">
        <f aca="false">G26-F26</f>
        <v>0</v>
      </c>
      <c r="I26" s="6" t="str">
        <f aca="false">IF(H26=0,"Khớp","Lệch")</f>
        <v>Khớp</v>
      </c>
    </row>
    <row r="27" customFormat="false" ht="15" hidden="false" customHeight="false" outlineLevel="0" collapsed="false">
      <c r="A27" s="18" t="s">
        <v>155</v>
      </c>
      <c r="B27" s="7" t="str">
        <f aca="false">TRIM(A27)</f>
        <v>GD0026</v>
      </c>
      <c r="C27" s="7" t="str">
        <f aca="false">IFERROR(VLOOKUP(B27,'Bang tra cuu'!$A$2:$B$29,2,FALSE()),"Không tìm thấy")</f>
        <v>Thái Bảo Châu</v>
      </c>
      <c r="D27" s="19" t="s">
        <v>25</v>
      </c>
      <c r="E27" s="20" t="n">
        <v>45437</v>
      </c>
      <c r="F27" s="21" t="n">
        <v>1000000</v>
      </c>
      <c r="G27" s="21" t="n">
        <v>1100000</v>
      </c>
      <c r="H27" s="22" t="n">
        <f aca="false">G27-F27</f>
        <v>100000</v>
      </c>
      <c r="I27" s="6" t="str">
        <f aca="false">IF(H27=0,"Khớp","Lệch")</f>
        <v>Lệch</v>
      </c>
    </row>
    <row r="28" customFormat="false" ht="15" hidden="false" customHeight="false" outlineLevel="0" collapsed="false">
      <c r="A28" s="18" t="s">
        <v>156</v>
      </c>
      <c r="B28" s="7" t="str">
        <f aca="false">TRIM(A28)</f>
        <v>GD0027</v>
      </c>
      <c r="C28" s="7" t="str">
        <f aca="false">IFERROR(VLOOKUP(B28,'Bang tra cuu'!$A$2:$B$29,2,FALSE()),"Không tìm thấy")</f>
        <v>Khúc Nhật Minh</v>
      </c>
      <c r="D28" s="19" t="s">
        <v>28</v>
      </c>
      <c r="E28" s="20" t="n">
        <v>45427</v>
      </c>
      <c r="F28" s="21" t="n">
        <v>500000</v>
      </c>
      <c r="G28" s="21" t="n">
        <v>500000</v>
      </c>
      <c r="H28" s="22" t="n">
        <f aca="false">G28-F28</f>
        <v>0</v>
      </c>
      <c r="I28" s="6" t="str">
        <f aca="false">IF(H28=0,"Khớp","Lệch")</f>
        <v>Khớp</v>
      </c>
    </row>
    <row r="29" customFormat="false" ht="15" hidden="false" customHeight="false" outlineLevel="0" collapsed="false">
      <c r="A29" s="18" t="s">
        <v>119</v>
      </c>
      <c r="B29" s="7" t="str">
        <f aca="false">TRIM(A29)</f>
        <v>GD0028</v>
      </c>
      <c r="C29" s="7" t="str">
        <f aca="false">IFERROR(VLOOKUP(B29,'Bang tra cuu'!$A$2:$B$29,2,FALSE()),"Không tìm thấy")</f>
        <v>Tạ Diễm My</v>
      </c>
      <c r="D29" s="19" t="s">
        <v>31</v>
      </c>
      <c r="E29" s="20" t="n">
        <v>45424</v>
      </c>
      <c r="F29" s="21" t="n">
        <v>2000000</v>
      </c>
      <c r="G29" s="21" t="n">
        <v>2000000</v>
      </c>
      <c r="H29" s="22" t="n">
        <f aca="false">G29-F29</f>
        <v>0</v>
      </c>
      <c r="I29" s="6" t="str">
        <f aca="false">IF(H29=0,"Khớp","Lệch")</f>
        <v>Khớp</v>
      </c>
    </row>
    <row r="30" customFormat="false" ht="15" hidden="false" customHeight="false" outlineLevel="0" collapsed="false">
      <c r="A30" s="18" t="s">
        <v>157</v>
      </c>
      <c r="B30" s="7" t="str">
        <f aca="false">TRIM(A30)</f>
        <v>GD0029</v>
      </c>
      <c r="C30" s="7" t="str">
        <f aca="false">IFERROR(VLOOKUP(B30,'Bang tra cuu'!$A$2:$B$29,2,FALSE()),"Không tìm thấy")</f>
        <v>Không tìm thấy</v>
      </c>
      <c r="D30" s="19" t="s">
        <v>32</v>
      </c>
      <c r="E30" s="20" t="n">
        <v>45420</v>
      </c>
      <c r="F30" s="21" t="n">
        <v>300000</v>
      </c>
      <c r="G30" s="21" t="n">
        <v>300000</v>
      </c>
      <c r="H30" s="22" t="n">
        <f aca="false">G30-F30</f>
        <v>0</v>
      </c>
      <c r="I30" s="6" t="str">
        <f aca="false">IF(H30=0,"Khớp","Lệch")</f>
        <v>Khớp</v>
      </c>
    </row>
    <row r="31" customFormat="false" ht="15" hidden="false" customHeight="false" outlineLevel="0" collapsed="false">
      <c r="A31" s="18" t="s">
        <v>158</v>
      </c>
      <c r="B31" s="7" t="str">
        <f aca="false">TRIM(A31)</f>
        <v>GD0030</v>
      </c>
      <c r="C31" s="7" t="str">
        <f aca="false">IFERROR(VLOOKUP(B31,'Bang tra cuu'!$A$2:$B$29,2,FALSE()),"Không tìm thấy")</f>
        <v>Không tìm thấy</v>
      </c>
      <c r="D31" s="19" t="s">
        <v>33</v>
      </c>
      <c r="E31" s="20" t="n">
        <v>45435</v>
      </c>
      <c r="F31" s="21" t="n">
        <v>150000</v>
      </c>
      <c r="G31" s="21" t="n">
        <v>150000</v>
      </c>
      <c r="H31" s="22" t="n">
        <f aca="false">G31-F31</f>
        <v>0</v>
      </c>
      <c r="I31" s="6" t="str">
        <f aca="false">IF(H31=0,"Khớp","Lệch")</f>
        <v>Khớp</v>
      </c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2026-10-26T16:26:35Z</dcterms:created>
  <dc:creator>openpyxl</dc:creator>
  <dc:description/>
  <dc:language>en-US</dc:language>
  <cp:lastModifiedBy/>
  <dcterms:modified xsi:type="dcterms:W3CDTF">2026-10-26T16:26:35Z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